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4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4C1D95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F3F4F6"/>
      </patternFill>
    </fill>
  </fills>
  <borders count="2">
    <border/>
    <border/>
  </borders>
  <cellStyleXfs count="1">
    <xf numFmtId="0" fontId="0" fillId="0" borderId="1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6" borderId="0" pivotButton="0" quotePrefix="0" xfId="0"/>
    <xf numFmtId="0" fontId="0" fillId="6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Language Distribution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Track count</v>
          </tx>
          <spPr>
            <a:ln xmlns:a="http://schemas.openxmlformats.org/drawingml/2006/main">
              <a:prstDash val="solid"/>
            </a:ln>
          </spPr>
          <cat>
            <strRef>
              <f>'Summary'!$A$13:$A$17</f>
              <strCache>
                <ptCount val="0"/>
              </strCache>
            </strRef>
          </cat>
          <val>
            <numRef>
              <f>'Summary'!$B$13:$B$17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13</row>
      <rowOff>0</rowOff>
    </from>
    <to>
      <col>8</col>
      <colOff>0</colOff>
      <row>28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ikageTrackCatalog" displayName="MikageTrackCatalog" ref="A1:Q22" headerRowCount="1">
  <tableColumns count="17">
    <tableColumn id="1" name="track_no"/>
    <tableColumn id="2" name="track_title"/>
    <tableColumn id="3" name="language"/>
    <tableColumn id="4" name="release_date"/>
    <tableColumn id="5" name="toolost_status"/>
    <tableColumn id="6" name="release_link"/>
    <tableColumn id="7" name="upc"/>
    <tableColumn id="8" name="catalog_number"/>
    <tableColumn id="9" name="genre"/>
    <tableColumn id="10" name="secondary_genre"/>
    <tableColumn id="11" name="label"/>
    <tableColumn id="12" name="proof_pack_status"/>
    <tableColumn id="13" name="website_status"/>
    <tableColumn id="14" name="store_delivery_log_status"/>
    <tableColumn id="15" name="verification_source"/>
    <tableColumn id="16" name="last_verified_date"/>
    <tableColumn id="17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5" customWidth="1" min="3" max="3"/>
    <col width="13" customWidth="1" min="4" max="4"/>
    <col width="14" customWidth="1" min="5" max="5"/>
    <col width="25" customWidth="1" min="6" max="6"/>
    <col width="19" customWidth="1" min="7" max="7"/>
    <col width="19" customWidth="1" min="8" max="8"/>
    <col width="18" customWidth="1" min="9" max="9"/>
    <col width="18" customWidth="1" min="10" max="10"/>
    <col width="23" customWidth="1" min="11" max="11"/>
    <col width="22" customWidth="1" min="12" max="12"/>
    <col width="22" customWidth="1" min="13" max="13"/>
    <col width="22" customWidth="1" min="14" max="14"/>
    <col width="38" customWidth="1" min="15" max="15"/>
    <col width="15" customWidth="1" min="16" max="16"/>
    <col width="52" customWidth="1" min="17" max="17"/>
  </cols>
  <sheetData>
    <row r="1" ht="34" customHeight="1">
      <c r="A1" s="14" t="inlineStr">
        <is>
          <t>track_no</t>
        </is>
      </c>
      <c r="B1" s="14" t="inlineStr">
        <is>
          <t>track_title</t>
        </is>
      </c>
      <c r="C1" s="14" t="inlineStr">
        <is>
          <t>language</t>
        </is>
      </c>
      <c r="D1" s="14" t="inlineStr">
        <is>
          <t>release_date</t>
        </is>
      </c>
      <c r="E1" s="14" t="inlineStr">
        <is>
          <t>toolost_status</t>
        </is>
      </c>
      <c r="F1" s="14" t="inlineStr">
        <is>
          <t>release_link</t>
        </is>
      </c>
      <c r="G1" s="14" t="inlineStr">
        <is>
          <t>upc</t>
        </is>
      </c>
      <c r="H1" s="14" t="inlineStr">
        <is>
          <t>catalog_number</t>
        </is>
      </c>
      <c r="I1" s="14" t="inlineStr">
        <is>
          <t>genre</t>
        </is>
      </c>
      <c r="J1" s="14" t="inlineStr">
        <is>
          <t>secondary_genre</t>
        </is>
      </c>
      <c r="K1" s="14" t="inlineStr">
        <is>
          <t>label</t>
        </is>
      </c>
      <c r="L1" s="14" t="inlineStr">
        <is>
          <t>proof_pack_status</t>
        </is>
      </c>
      <c r="M1" s="14" t="inlineStr">
        <is>
          <t>website_status</t>
        </is>
      </c>
      <c r="N1" s="14" t="inlineStr">
        <is>
          <t>store_delivery_log_status</t>
        </is>
      </c>
      <c r="O1" s="14" t="inlineStr">
        <is>
          <t>verification_source</t>
        </is>
      </c>
      <c r="P1" s="14" t="inlineStr">
        <is>
          <t>last_verified_date</t>
        </is>
      </c>
      <c r="Q1" s="14" t="inlineStr">
        <is>
          <t>notes</t>
        </is>
      </c>
    </row>
    <row r="2">
      <c r="A2" s="50" t="inlineStr">
        <is>
          <t>01</t>
        </is>
      </c>
      <c r="B2" s="15" t="inlineStr">
        <is>
          <t>THE LANDAUER PARADOX</t>
        </is>
      </c>
      <c r="C2" s="15" t="inlineStr">
        <is>
          <t>English</t>
        </is>
      </c>
      <c r="D2" s="15" t="inlineStr">
        <is>
          <t>2026-05-21</t>
        </is>
      </c>
      <c r="E2" s="15" t="inlineStr">
        <is>
          <t>Delivered</t>
        </is>
      </c>
      <c r="F2" s="15" t="inlineStr">
        <is>
          <t>https://too.fm/b46pqy9</t>
        </is>
      </c>
      <c r="G2" s="50" t="inlineStr">
        <is>
          <t>0672896193694</t>
        </is>
      </c>
      <c r="H2" s="50" t="inlineStr">
        <is>
          <t>TOOLOST3001080565</t>
        </is>
      </c>
      <c r="I2" s="15" t="inlineStr">
        <is>
          <t>Electronic</t>
        </is>
      </c>
      <c r="J2" s="15" t="inlineStr">
        <is>
          <t>Ambient/New Age</t>
        </is>
      </c>
      <c r="K2" s="15" t="inlineStr">
        <is>
          <t>Mikage Zenith STUDIO</t>
        </is>
      </c>
      <c r="L2" s="15" t="inlineStr">
        <is>
          <t>CHUA_XAC_NHAN</t>
        </is>
      </c>
      <c r="M2" s="15" t="inlineStr">
        <is>
          <t>CHUA_XAC_NHAN</t>
        </is>
      </c>
      <c r="N2" s="15" t="inlineStr">
        <is>
          <t>CHUA_XAC_NHAN</t>
        </is>
      </c>
      <c r="O2" s="15" t="inlineStr">
        <is>
          <t>USER_CONTEXT_NOT_FILE_VERIFIED</t>
        </is>
      </c>
      <c r="P2" s="51" t="inlineStr">
        <is>
          <t>2026-05-15</t>
        </is>
      </c>
      <c r="Q2" s="15" t="inlineStr">
        <is>
          <t>First May launch arc track</t>
        </is>
      </c>
    </row>
    <row r="3">
      <c r="A3" s="50" t="inlineStr">
        <is>
          <t>02</t>
        </is>
      </c>
      <c r="B3" s="15" t="inlineStr">
        <is>
          <t>DIGITAL ASH</t>
        </is>
      </c>
      <c r="C3" s="15" t="inlineStr">
        <is>
          <t>English</t>
        </is>
      </c>
      <c r="D3" s="15" t="inlineStr">
        <is>
          <t>2026-05-22</t>
        </is>
      </c>
      <c r="E3" s="15" t="inlineStr">
        <is>
          <t>Delivered</t>
        </is>
      </c>
      <c r="F3" s="15" t="inlineStr">
        <is>
          <t>https://too.fm/n47vjyb</t>
        </is>
      </c>
      <c r="G3" s="50" t="inlineStr">
        <is>
          <t>0672896194141</t>
        </is>
      </c>
      <c r="H3" s="50" t="inlineStr">
        <is>
          <t>TOOLOST3001082088</t>
        </is>
      </c>
      <c r="I3" s="15" t="inlineStr">
        <is>
          <t>Electronic</t>
        </is>
      </c>
      <c r="J3" s="15" t="inlineStr">
        <is>
          <t>Industrial/Noise</t>
        </is>
      </c>
      <c r="K3" s="15" t="inlineStr">
        <is>
          <t>Mikage Zenith STUDIO</t>
        </is>
      </c>
      <c r="L3" s="15" t="inlineStr">
        <is>
          <t>CHUA_XAC_NHAN</t>
        </is>
      </c>
      <c r="M3" s="15" t="inlineStr">
        <is>
          <t>CHUA_XAC_NHAN</t>
        </is>
      </c>
      <c r="N3" s="15" t="inlineStr">
        <is>
          <t>CHUA_XAC_NHAN</t>
        </is>
      </c>
      <c r="O3" s="15" t="inlineStr">
        <is>
          <t>USER_CONTEXT_NOT_FILE_VERIFIED</t>
        </is>
      </c>
      <c r="P3" s="51" t="inlineStr">
        <is>
          <t>2026-05-15</t>
        </is>
      </c>
      <c r="Q3" s="15" t="inlineStr">
        <is>
          <t>May launch arc</t>
        </is>
      </c>
    </row>
    <row r="4">
      <c r="A4" s="50" t="inlineStr">
        <is>
          <t>03</t>
        </is>
      </c>
      <c r="B4" s="15" t="inlineStr">
        <is>
          <t>THE BREACH</t>
        </is>
      </c>
      <c r="C4" s="15" t="inlineStr">
        <is>
          <t>English</t>
        </is>
      </c>
      <c r="D4" s="15" t="inlineStr">
        <is>
          <t>2026-05-23</t>
        </is>
      </c>
      <c r="E4" s="15" t="inlineStr">
        <is>
          <t>Delivered</t>
        </is>
      </c>
      <c r="F4" s="15" t="inlineStr">
        <is>
          <t>https://too.fm/b1mpe0n</t>
        </is>
      </c>
      <c r="G4" s="50" t="inlineStr">
        <is>
          <t>0672896194547</t>
        </is>
      </c>
      <c r="H4" s="50" t="inlineStr">
        <is>
          <t>TOOLOST3001082668</t>
        </is>
      </c>
      <c r="I4" s="15" t="inlineStr">
        <is>
          <t>Electronic</t>
        </is>
      </c>
      <c r="J4" s="15" t="inlineStr">
        <is>
          <t>Industrial/Noise</t>
        </is>
      </c>
      <c r="K4" s="15" t="inlineStr">
        <is>
          <t>Mikage Zenith STUDIO</t>
        </is>
      </c>
      <c r="L4" s="15" t="inlineStr">
        <is>
          <t>CHUA_XAC_NHAN</t>
        </is>
      </c>
      <c r="M4" s="15" t="inlineStr">
        <is>
          <t>CHUA_XAC_NHAN</t>
        </is>
      </c>
      <c r="N4" s="15" t="inlineStr">
        <is>
          <t>CHUA_XAC_NHAN</t>
        </is>
      </c>
      <c r="O4" s="15" t="inlineStr">
        <is>
          <t>USER_CONTEXT_NOT_FILE_VERIFIED</t>
        </is>
      </c>
      <c r="P4" s="51" t="inlineStr">
        <is>
          <t>2026-05-15</t>
        </is>
      </c>
      <c r="Q4" s="15" t="inlineStr">
        <is>
          <t>May launch arc</t>
        </is>
      </c>
    </row>
    <row r="5">
      <c r="A5" s="50" t="inlineStr">
        <is>
          <t>04</t>
        </is>
      </c>
      <c r="B5" s="15" t="inlineStr">
        <is>
          <t>SINGULAR HEART</t>
        </is>
      </c>
      <c r="C5" s="15" t="inlineStr">
        <is>
          <t>English</t>
        </is>
      </c>
      <c r="D5" s="15" t="inlineStr">
        <is>
          <t>2026-05-24</t>
        </is>
      </c>
      <c r="E5" s="15" t="inlineStr">
        <is>
          <t>Delivered</t>
        </is>
      </c>
      <c r="F5" s="15" t="inlineStr">
        <is>
          <t>https://too.fm/dxbjxl</t>
        </is>
      </c>
      <c r="G5" s="50" t="inlineStr">
        <is>
          <t>0672896211152</t>
        </is>
      </c>
      <c r="H5" s="50" t="inlineStr">
        <is>
          <t>TOOLOST3001087607</t>
        </is>
      </c>
      <c r="I5" s="15" t="inlineStr">
        <is>
          <t>Electronic</t>
        </is>
      </c>
      <c r="J5" s="15" t="inlineStr">
        <is>
          <t>Ambient/New Age</t>
        </is>
      </c>
      <c r="K5" s="15" t="inlineStr">
        <is>
          <t>Mikage Zenith STUDIO</t>
        </is>
      </c>
      <c r="L5" s="15" t="inlineStr">
        <is>
          <t>CHUA_XAC_NHAN</t>
        </is>
      </c>
      <c r="M5" s="15" t="inlineStr">
        <is>
          <t>CHUA_XAC_NHAN</t>
        </is>
      </c>
      <c r="N5" s="15" t="inlineStr">
        <is>
          <t>CHUA_XAC_NHAN</t>
        </is>
      </c>
      <c r="O5" s="15" t="inlineStr">
        <is>
          <t>USER_CONTEXT_NOT_FILE_VERIFIED</t>
        </is>
      </c>
      <c r="P5" s="51" t="inlineStr">
        <is>
          <t>2026-05-15</t>
        </is>
      </c>
      <c r="Q5" s="15" t="inlineStr">
        <is>
          <t>May launch arc</t>
        </is>
      </c>
    </row>
    <row r="6">
      <c r="A6" s="50" t="inlineStr">
        <is>
          <t>05</t>
        </is>
      </c>
      <c r="B6" s="15" t="inlineStr">
        <is>
          <t>PORCELAIN ASCENSION</t>
        </is>
      </c>
      <c r="C6" s="15" t="inlineStr">
        <is>
          <t>English</t>
        </is>
      </c>
      <c r="D6" s="15" t="inlineStr">
        <is>
          <t>2026-05-25</t>
        </is>
      </c>
      <c r="E6" s="15" t="inlineStr">
        <is>
          <t>Delivered</t>
        </is>
      </c>
      <c r="F6" s="15" t="inlineStr">
        <is>
          <t>https://too.fm/ddq2yma</t>
        </is>
      </c>
      <c r="G6" s="50" t="inlineStr">
        <is>
          <t>0672896212654</t>
        </is>
      </c>
      <c r="H6" s="50" t="inlineStr">
        <is>
          <t>TOOLOST3001087656</t>
        </is>
      </c>
      <c r="I6" s="15" t="inlineStr">
        <is>
          <t>Rock</t>
        </is>
      </c>
      <c r="J6" s="15" t="inlineStr">
        <is>
          <t>Alternative</t>
        </is>
      </c>
      <c r="K6" s="15" t="inlineStr">
        <is>
          <t>Mikage Zenith STUDIO</t>
        </is>
      </c>
      <c r="L6" s="15" t="inlineStr">
        <is>
          <t>CHUA_XAC_NHAN</t>
        </is>
      </c>
      <c r="M6" s="15" t="inlineStr">
        <is>
          <t>CHUA_XAC_NHAN</t>
        </is>
      </c>
      <c r="N6" s="15" t="inlineStr">
        <is>
          <t>CHUA_XAC_NHAN</t>
        </is>
      </c>
      <c r="O6" s="15" t="inlineStr">
        <is>
          <t>USER_CONTEXT_NOT_FILE_VERIFIED</t>
        </is>
      </c>
      <c r="P6" s="51" t="inlineStr">
        <is>
          <t>2026-05-15</t>
        </is>
      </c>
      <c r="Q6" s="15" t="inlineStr">
        <is>
          <t>May launch arc</t>
        </is>
      </c>
    </row>
    <row r="7">
      <c r="A7" s="50" t="inlineStr">
        <is>
          <t>06</t>
        </is>
      </c>
      <c r="B7" s="15" t="inlineStr">
        <is>
          <t>THE THEOREM</t>
        </is>
      </c>
      <c r="C7" s="15" t="inlineStr">
        <is>
          <t>English</t>
        </is>
      </c>
      <c r="D7" s="15" t="inlineStr">
        <is>
          <t>2026-05-26</t>
        </is>
      </c>
      <c r="E7" s="15" t="inlineStr">
        <is>
          <t>Delivered</t>
        </is>
      </c>
      <c r="F7" s="15" t="inlineStr">
        <is>
          <t>https://too.fm/zbajdz2</t>
        </is>
      </c>
      <c r="G7" s="50" t="inlineStr">
        <is>
          <t>0672896216560</t>
        </is>
      </c>
      <c r="H7" s="50" t="inlineStr">
        <is>
          <t>TOOLOST3001088467</t>
        </is>
      </c>
      <c r="I7" s="15" t="inlineStr">
        <is>
          <t>Electronic</t>
        </is>
      </c>
      <c r="J7" s="15" t="inlineStr">
        <is>
          <t>Industrial/Noise</t>
        </is>
      </c>
      <c r="K7" s="15" t="inlineStr">
        <is>
          <t>Mikage Zenith STUDIO</t>
        </is>
      </c>
      <c r="L7" s="15" t="inlineStr">
        <is>
          <t>CHUA_XAC_NHAN</t>
        </is>
      </c>
      <c r="M7" s="15" t="inlineStr">
        <is>
          <t>CHUA_XAC_NHAN</t>
        </is>
      </c>
      <c r="N7" s="15" t="inlineStr">
        <is>
          <t>CHUA_XAC_NHAN</t>
        </is>
      </c>
      <c r="O7" s="15" t="inlineStr">
        <is>
          <t>USER_CONTEXT_NOT_FILE_VERIFIED</t>
        </is>
      </c>
      <c r="P7" s="51" t="inlineStr">
        <is>
          <t>2026-05-15</t>
        </is>
      </c>
      <c r="Q7" s="15" t="inlineStr">
        <is>
          <t>May launch arc</t>
        </is>
      </c>
    </row>
    <row r="8">
      <c r="A8" s="50" t="inlineStr">
        <is>
          <t>07</t>
        </is>
      </c>
      <c r="B8" s="15" t="inlineStr">
        <is>
          <t>THE ROOT ARCHITECT</t>
        </is>
      </c>
      <c r="C8" s="15" t="inlineStr">
        <is>
          <t>English</t>
        </is>
      </c>
      <c r="D8" s="15" t="inlineStr">
        <is>
          <t>2026-05-26</t>
        </is>
      </c>
      <c r="E8" s="15" t="inlineStr">
        <is>
          <t>Delivered</t>
        </is>
      </c>
      <c r="F8" s="15" t="inlineStr">
        <is>
          <t>https://too.fm/kap5jm4</t>
        </is>
      </c>
      <c r="G8" s="50" t="inlineStr">
        <is>
          <t>0672896221793</t>
        </is>
      </c>
      <c r="H8" s="50" t="inlineStr">
        <is>
          <t>TOOLOST3001090360</t>
        </is>
      </c>
      <c r="I8" s="15" t="inlineStr">
        <is>
          <t>Hip-Hop/Rap</t>
        </is>
      </c>
      <c r="J8" s="15" t="inlineStr">
        <is>
          <t>Electronic</t>
        </is>
      </c>
      <c r="K8" s="15" t="inlineStr">
        <is>
          <t>Mikage Zenith STUDIO</t>
        </is>
      </c>
      <c r="L8" s="15" t="inlineStr">
        <is>
          <t>CHUA_XAC_NHAN</t>
        </is>
      </c>
      <c r="M8" s="15" t="inlineStr">
        <is>
          <t>CHUA_XAC_NHAN</t>
        </is>
      </c>
      <c r="N8" s="15" t="inlineStr">
        <is>
          <t>CHUA_XAC_NHAN</t>
        </is>
      </c>
      <c r="O8" s="15" t="inlineStr">
        <is>
          <t>USER_CONTEXT_NOT_FILE_VERIFIED</t>
        </is>
      </c>
      <c r="P8" s="51" t="inlineStr">
        <is>
          <t>2026-05-15</t>
        </is>
      </c>
      <c r="Q8" s="15" t="inlineStr">
        <is>
          <t>May launch arc</t>
        </is>
      </c>
    </row>
    <row r="9">
      <c r="A9" s="50" t="inlineStr">
        <is>
          <t>08</t>
        </is>
      </c>
      <c r="B9" s="15" t="inlineStr">
        <is>
          <t>GLASS SKIN</t>
        </is>
      </c>
      <c r="C9" s="15" t="inlineStr">
        <is>
          <t>English</t>
        </is>
      </c>
      <c r="D9" s="15" t="inlineStr">
        <is>
          <t>2026-06-05</t>
        </is>
      </c>
      <c r="E9" s="15" t="inlineStr">
        <is>
          <t>Delivered</t>
        </is>
      </c>
      <c r="F9" s="15" t="inlineStr">
        <is>
          <t>https://too.fm/6ab5ny9</t>
        </is>
      </c>
      <c r="G9" s="50" t="inlineStr">
        <is>
          <t>0672896249650</t>
        </is>
      </c>
      <c r="H9" s="50" t="inlineStr">
        <is>
          <t>TOOLOST3001095213</t>
        </is>
      </c>
      <c r="I9" s="15" t="inlineStr">
        <is>
          <t>Pop</t>
        </is>
      </c>
      <c r="J9" s="15" t="inlineStr">
        <is>
          <t>Alternative/Indie Pop</t>
        </is>
      </c>
      <c r="K9" s="15" t="inlineStr">
        <is>
          <t>Mikage Zenith STUDIO</t>
        </is>
      </c>
      <c r="L9" s="15" t="inlineStr">
        <is>
          <t>CHUA_XAC_NHAN</t>
        </is>
      </c>
      <c r="M9" s="15" t="inlineStr">
        <is>
          <t>CHUA_XAC_NHAN</t>
        </is>
      </c>
      <c r="N9" s="15" t="inlineStr">
        <is>
          <t>CHUA_XAC_NHAN</t>
        </is>
      </c>
      <c r="O9" s="15" t="inlineStr">
        <is>
          <t>USER_CONTEXT_NOT_FILE_VERIFIED</t>
        </is>
      </c>
      <c r="P9" s="51" t="inlineStr">
        <is>
          <t>2026-05-15</t>
        </is>
      </c>
      <c r="Q9" s="15" t="inlineStr">
        <is>
          <t>June release</t>
        </is>
      </c>
    </row>
    <row r="10">
      <c r="A10" s="50" t="inlineStr">
        <is>
          <t>09</t>
        </is>
      </c>
      <c r="B10" s="15" t="inlineStr">
        <is>
          <t>ガラスの肌 (GLASS SKIN Japanese Version)</t>
        </is>
      </c>
      <c r="C10" s="15" t="inlineStr">
        <is>
          <t>Japanese</t>
        </is>
      </c>
      <c r="D10" s="15" t="inlineStr">
        <is>
          <t>2026-06-05</t>
        </is>
      </c>
      <c r="E10" s="15" t="inlineStr">
        <is>
          <t>Delivered</t>
        </is>
      </c>
      <c r="F10" s="15" t="inlineStr">
        <is>
          <t>https://too.fm/aeabl88</t>
        </is>
      </c>
      <c r="G10" s="50" t="inlineStr">
        <is>
          <t>0672896265183</t>
        </is>
      </c>
      <c r="H10" s="50" t="inlineStr">
        <is>
          <t>TOOLOST3001095844</t>
        </is>
      </c>
      <c r="I10" s="15" t="inlineStr">
        <is>
          <t>Pop/J-Pop</t>
        </is>
      </c>
      <c r="J10" s="15" t="inlineStr">
        <is>
          <t>Alternative/Indie Pop</t>
        </is>
      </c>
      <c r="K10" s="15" t="inlineStr">
        <is>
          <t>Mikage Zenith STUDIO</t>
        </is>
      </c>
      <c r="L10" s="15" t="inlineStr">
        <is>
          <t>CHUA_XAC_NHAN</t>
        </is>
      </c>
      <c r="M10" s="15" t="inlineStr">
        <is>
          <t>CHUA_XAC_NHAN</t>
        </is>
      </c>
      <c r="N10" s="15" t="inlineStr">
        <is>
          <t>CHUA_XAC_NHAN</t>
        </is>
      </c>
      <c r="O10" s="15" t="inlineStr">
        <is>
          <t>USER_CONTEXT_NOT_FILE_VERIFIED</t>
        </is>
      </c>
      <c r="P10" s="51" t="inlineStr">
        <is>
          <t>2026-05-15</t>
        </is>
      </c>
      <c r="Q10" s="15" t="inlineStr">
        <is>
          <t>Japanese version</t>
        </is>
      </c>
    </row>
    <row r="11">
      <c r="A11" s="50" t="inlineStr">
        <is>
          <t>10</t>
        </is>
      </c>
      <c r="B11" s="15" t="inlineStr">
        <is>
          <t>SLOW ORBIT</t>
        </is>
      </c>
      <c r="C11" s="15" t="inlineStr">
        <is>
          <t>English</t>
        </is>
      </c>
      <c r="D11" s="15" t="inlineStr">
        <is>
          <t>2026-06-06</t>
        </is>
      </c>
      <c r="E11" s="15" t="inlineStr">
        <is>
          <t>Delivered</t>
        </is>
      </c>
      <c r="F11" s="15" t="inlineStr">
        <is>
          <t>https://too.fm/o2wykod</t>
        </is>
      </c>
      <c r="G11" s="50" t="inlineStr">
        <is>
          <t>0672896267173</t>
        </is>
      </c>
      <c r="H11" s="50" t="inlineStr">
        <is>
          <t>TOOLOST3001097134</t>
        </is>
      </c>
      <c r="I11" s="15" t="inlineStr">
        <is>
          <t>R&amp;B</t>
        </is>
      </c>
      <c r="J11" s="15" t="inlineStr">
        <is>
          <t>Dance</t>
        </is>
      </c>
      <c r="K11" s="15" t="inlineStr">
        <is>
          <t>Mikage Zenith STUDIO</t>
        </is>
      </c>
      <c r="L11" s="15" t="inlineStr">
        <is>
          <t>CHUA_XAC_NHAN</t>
        </is>
      </c>
      <c r="M11" s="15" t="inlineStr">
        <is>
          <t>CHUA_XAC_NHAN</t>
        </is>
      </c>
      <c r="N11" s="15" t="inlineStr">
        <is>
          <t>CHUA_XAC_NHAN</t>
        </is>
      </c>
      <c r="O11" s="15" t="inlineStr">
        <is>
          <t>USER_CONTEXT_NOT_FILE_VERIFIED</t>
        </is>
      </c>
      <c r="P11" s="51" t="inlineStr">
        <is>
          <t>2026-05-15</t>
        </is>
      </c>
      <c r="Q11" s="15" t="inlineStr">
        <is>
          <t>Delivered; do not suggest as next track to make</t>
        </is>
      </c>
    </row>
    <row r="12">
      <c r="A12" s="50" t="inlineStr">
        <is>
          <t>11</t>
        </is>
      </c>
      <c r="B12" s="15" t="inlineStr">
        <is>
          <t>NO TOUCHDOWN</t>
        </is>
      </c>
      <c r="C12" s="15" t="inlineStr">
        <is>
          <t>English</t>
        </is>
      </c>
      <c r="D12" s="15" t="inlineStr">
        <is>
          <t>2026-06-12</t>
        </is>
      </c>
      <c r="E12" s="15" t="inlineStr">
        <is>
          <t>Delivered</t>
        </is>
      </c>
      <c r="F12" s="15" t="inlineStr">
        <is>
          <t>https://too.fm/yj8kgda</t>
        </is>
      </c>
      <c r="G12" s="50" t="inlineStr">
        <is>
          <t>0672896275703</t>
        </is>
      </c>
      <c r="H12" s="50" t="inlineStr">
        <is>
          <t>TOOLOST3001098561</t>
        </is>
      </c>
      <c r="I12" s="15" t="inlineStr">
        <is>
          <t>Pop</t>
        </is>
      </c>
      <c r="J12" s="15" t="inlineStr">
        <is>
          <t>Dance</t>
        </is>
      </c>
      <c r="K12" s="15" t="inlineStr">
        <is>
          <t>Mikage Zenith STUDIO</t>
        </is>
      </c>
      <c r="L12" s="15" t="inlineStr">
        <is>
          <t>CHUA_XAC_NHAN</t>
        </is>
      </c>
      <c r="M12" s="15" t="inlineStr">
        <is>
          <t>CHUA_XAC_NHAN</t>
        </is>
      </c>
      <c r="N12" s="15" t="inlineStr">
        <is>
          <t>CHUA_XAC_NHAN</t>
        </is>
      </c>
      <c r="O12" s="15" t="inlineStr">
        <is>
          <t>USER_CONTEXT_NOT_FILE_VERIFIED</t>
        </is>
      </c>
      <c r="P12" s="51" t="inlineStr">
        <is>
          <t>2026-05-15</t>
        </is>
      </c>
      <c r="Q12" s="15" t="inlineStr">
        <is>
          <t>June release</t>
        </is>
      </c>
    </row>
    <row r="13">
      <c r="A13" s="50" t="inlineStr">
        <is>
          <t>12</t>
        </is>
      </c>
      <c r="B13" s="15" t="inlineStr">
        <is>
          <t>HUSH / SAY LESS</t>
        </is>
      </c>
      <c r="C13" s="15" t="inlineStr">
        <is>
          <t>English</t>
        </is>
      </c>
      <c r="D13" s="15" t="inlineStr">
        <is>
          <t>2026-06-13</t>
        </is>
      </c>
      <c r="E13" s="15" t="inlineStr">
        <is>
          <t>Delivered</t>
        </is>
      </c>
      <c r="F13" s="15" t="inlineStr">
        <is>
          <t>https://too.fm/xdkxqxe</t>
        </is>
      </c>
      <c r="G13" s="50" t="inlineStr">
        <is>
          <t>0672896275758</t>
        </is>
      </c>
      <c r="H13" s="50" t="inlineStr">
        <is>
          <t>TOOLOST3001098619</t>
        </is>
      </c>
      <c r="I13" s="15" t="inlineStr">
        <is>
          <t>Hip-Hop/Rap</t>
        </is>
      </c>
      <c r="J13" s="15" t="inlineStr">
        <is>
          <t>R&amp;B</t>
        </is>
      </c>
      <c r="K13" s="15" t="inlineStr">
        <is>
          <t>Mikage Zenith STUDIO</t>
        </is>
      </c>
      <c r="L13" s="15" t="inlineStr">
        <is>
          <t>CHUA_XAC_NHAN</t>
        </is>
      </c>
      <c r="M13" s="15" t="inlineStr">
        <is>
          <t>CHUA_XAC_NHAN</t>
        </is>
      </c>
      <c r="N13" s="15" t="inlineStr">
        <is>
          <t>CHUA_XAC_NHAN</t>
        </is>
      </c>
      <c r="O13" s="15" t="inlineStr">
        <is>
          <t>USER_CONTEXT_NOT_FILE_VERIFIED</t>
        </is>
      </c>
      <c r="P13" s="51" t="inlineStr">
        <is>
          <t>2026-05-15</t>
        </is>
      </c>
      <c r="Q13" s="15" t="inlineStr">
        <is>
          <t>June release</t>
        </is>
      </c>
    </row>
    <row r="14">
      <c r="A14" s="50" t="inlineStr">
        <is>
          <t>13</t>
        </is>
      </c>
      <c r="B14" s="15" t="inlineStr">
        <is>
          <t>GLASS SKIN (Anime Version)</t>
        </is>
      </c>
      <c r="C14" s="15" t="inlineStr">
        <is>
          <t>English</t>
        </is>
      </c>
      <c r="D14" s="15" t="inlineStr">
        <is>
          <t>2026-06-14</t>
        </is>
      </c>
      <c r="E14" s="15" t="inlineStr">
        <is>
          <t>Delivered</t>
        </is>
      </c>
      <c r="F14" s="15" t="inlineStr">
        <is>
          <t>https://too.fm/x3rogpp</t>
        </is>
      </c>
      <c r="G14" s="50" t="inlineStr">
        <is>
          <t>0672896281766</t>
        </is>
      </c>
      <c r="H14" s="50" t="inlineStr">
        <is>
          <t>TOOLOST3001098749</t>
        </is>
      </c>
      <c r="I14" s="15" t="inlineStr">
        <is>
          <t>Rock</t>
        </is>
      </c>
      <c r="J14" s="15" t="inlineStr">
        <is>
          <t>Alternative/Rock</t>
        </is>
      </c>
      <c r="K14" s="15" t="inlineStr">
        <is>
          <t>Mikage Zenith STUDIO</t>
        </is>
      </c>
      <c r="L14" s="15" t="inlineStr">
        <is>
          <t>CHUA_XAC_NHAN</t>
        </is>
      </c>
      <c r="M14" s="15" t="inlineStr">
        <is>
          <t>CHUA_XAC_NHAN</t>
        </is>
      </c>
      <c r="N14" s="15" t="inlineStr">
        <is>
          <t>CHUA_XAC_NHAN</t>
        </is>
      </c>
      <c r="O14" s="15" t="inlineStr">
        <is>
          <t>USER_CONTEXT_NOT_FILE_VERIFIED</t>
        </is>
      </c>
      <c r="P14" s="51" t="inlineStr">
        <is>
          <t>2026-05-15</t>
        </is>
      </c>
      <c r="Q14" s="15" t="inlineStr">
        <is>
          <t>Anime version</t>
        </is>
      </c>
    </row>
    <row r="15">
      <c r="A15" s="50" t="inlineStr">
        <is>
          <t>14</t>
        </is>
      </c>
      <c r="B15" s="15" t="inlineStr">
        <is>
          <t>SIGNAL THIEF</t>
        </is>
      </c>
      <c r="C15" s="15" t="inlineStr">
        <is>
          <t>English</t>
        </is>
      </c>
      <c r="D15" s="15" t="inlineStr">
        <is>
          <t>2026-06-19</t>
        </is>
      </c>
      <c r="E15" s="15" t="inlineStr">
        <is>
          <t>Delivered</t>
        </is>
      </c>
      <c r="F15" s="15" t="inlineStr">
        <is>
          <t>https://too.fm/dxadgdn</t>
        </is>
      </c>
      <c r="G15" s="50" t="inlineStr">
        <is>
          <t>0672896281827</t>
        </is>
      </c>
      <c r="H15" s="50" t="inlineStr">
        <is>
          <t>TOOLOST3001099169</t>
        </is>
      </c>
      <c r="I15" s="15" t="inlineStr">
        <is>
          <t>Pop</t>
        </is>
      </c>
      <c r="J15" s="15" t="inlineStr">
        <is>
          <t>Hip-Hop/Rap</t>
        </is>
      </c>
      <c r="K15" s="15" t="inlineStr">
        <is>
          <t>Mikage Zenith STUDIO</t>
        </is>
      </c>
      <c r="L15" s="15" t="inlineStr">
        <is>
          <t>CHUA_XAC_NHAN</t>
        </is>
      </c>
      <c r="M15" s="15" t="inlineStr">
        <is>
          <t>CHUA_XAC_NHAN</t>
        </is>
      </c>
      <c r="N15" s="15" t="inlineStr">
        <is>
          <t>CHUA_XAC_NHAN</t>
        </is>
      </c>
      <c r="O15" s="15" t="inlineStr">
        <is>
          <t>USER_CONTEXT_NOT_FILE_VERIFIED</t>
        </is>
      </c>
      <c r="P15" s="51" t="inlineStr">
        <is>
          <t>2026-05-15</t>
        </is>
      </c>
      <c r="Q15" s="15" t="inlineStr">
        <is>
          <t>June release</t>
        </is>
      </c>
    </row>
    <row r="16">
      <c r="A16" s="50" t="inlineStr">
        <is>
          <t>15</t>
        </is>
      </c>
      <c r="B16" s="15" t="inlineStr">
        <is>
          <t>BLACK SAND FEVER</t>
        </is>
      </c>
      <c r="C16" s="15" t="inlineStr">
        <is>
          <t>English</t>
        </is>
      </c>
      <c r="D16" s="15" t="inlineStr">
        <is>
          <t>2026-06-20</t>
        </is>
      </c>
      <c r="E16" s="15" t="inlineStr">
        <is>
          <t>Delivered</t>
        </is>
      </c>
      <c r="F16" s="15" t="inlineStr">
        <is>
          <t>https://too.fm/mpxl7r</t>
        </is>
      </c>
      <c r="G16" s="50" t="inlineStr">
        <is>
          <t>0672896282763</t>
        </is>
      </c>
      <c r="H16" s="50" t="inlineStr">
        <is>
          <t>TOOLOST3001100882</t>
        </is>
      </c>
      <c r="I16" s="15" t="inlineStr">
        <is>
          <t>Dance</t>
        </is>
      </c>
      <c r="J16" s="15" t="inlineStr">
        <is>
          <t>Pop</t>
        </is>
      </c>
      <c r="K16" s="15" t="inlineStr">
        <is>
          <t>Mikage Zenith STUDIO</t>
        </is>
      </c>
      <c r="L16" s="15" t="inlineStr">
        <is>
          <t>CHUA_XAC_NHAN</t>
        </is>
      </c>
      <c r="M16" s="15" t="inlineStr">
        <is>
          <t>CHUA_XAC_NHAN</t>
        </is>
      </c>
      <c r="N16" s="15" t="inlineStr">
        <is>
          <t>CHUA_XAC_NHAN</t>
        </is>
      </c>
      <c r="O16" s="15" t="inlineStr">
        <is>
          <t>USER_CONTEXT_NOT_FILE_VERIFIED</t>
        </is>
      </c>
      <c r="P16" s="51" t="inlineStr">
        <is>
          <t>2026-05-15</t>
        </is>
      </c>
      <c r="Q16" s="15" t="inlineStr">
        <is>
          <t>June release</t>
        </is>
      </c>
    </row>
    <row r="17">
      <c r="A17" s="50" t="inlineStr">
        <is>
          <t>16</t>
        </is>
      </c>
      <c r="B17" s="15" t="inlineStr">
        <is>
          <t>NIGHT BITE</t>
        </is>
      </c>
      <c r="C17" s="15" t="inlineStr">
        <is>
          <t>English</t>
        </is>
      </c>
      <c r="D17" s="15" t="inlineStr">
        <is>
          <t>2026-06-21</t>
        </is>
      </c>
      <c r="E17" s="15" t="inlineStr">
        <is>
          <t>Delivered</t>
        </is>
      </c>
      <c r="F17" s="15" t="inlineStr">
        <is>
          <t>https://too.fm/kyy9dln</t>
        </is>
      </c>
      <c r="G17" s="50" t="inlineStr">
        <is>
          <t>0672896283593</t>
        </is>
      </c>
      <c r="H17" s="50" t="inlineStr">
        <is>
          <t>TOOLOST3001102002</t>
        </is>
      </c>
      <c r="I17" s="15" t="inlineStr">
        <is>
          <t>Pop</t>
        </is>
      </c>
      <c r="J17" s="15" t="inlineStr">
        <is>
          <t>Dance</t>
        </is>
      </c>
      <c r="K17" s="15" t="inlineStr">
        <is>
          <t>Mikage Zenith STUDIO</t>
        </is>
      </c>
      <c r="L17" s="15" t="inlineStr">
        <is>
          <t>CHUA_XAC_NHAN</t>
        </is>
      </c>
      <c r="M17" s="15" t="inlineStr">
        <is>
          <t>CHUA_XAC_NHAN</t>
        </is>
      </c>
      <c r="N17" s="15" t="inlineStr">
        <is>
          <t>CHUA_XAC_NHAN</t>
        </is>
      </c>
      <c r="O17" s="15" t="inlineStr">
        <is>
          <t>USER_SCREENSHOT_TOOLOST_INFORMATION_2026-05-15</t>
        </is>
      </c>
      <c r="P17" s="51" t="inlineStr">
        <is>
          <t>2026-05-15</t>
        </is>
      </c>
      <c r="Q17" s="15" t="inlineStr">
        <is>
          <t>Metadata verified from TooLost dashboard screenshot; store logs/direct store links/Amazon ASIN/proof pack not fully verified.</t>
        </is>
      </c>
    </row>
    <row r="18">
      <c r="A18" s="50" t="inlineStr">
        <is>
          <t>17</t>
        </is>
      </c>
      <c r="B18" s="15" t="inlineStr">
        <is>
          <t>黒雨信號 (BLACK RAIN SIGNAL)</t>
        </is>
      </c>
      <c r="C18" s="15" t="inlineStr">
        <is>
          <t>Chinese</t>
        </is>
      </c>
      <c r="D18" s="15" t="inlineStr">
        <is>
          <t>2026-06-26</t>
        </is>
      </c>
      <c r="E18" s="15" t="inlineStr">
        <is>
          <t>Delivered</t>
        </is>
      </c>
      <c r="F18" s="15" t="inlineStr">
        <is>
          <t>https://too.fm/oyey90b</t>
        </is>
      </c>
      <c r="G18" s="50" t="inlineStr">
        <is>
          <t>0672896297927</t>
        </is>
      </c>
      <c r="H18" s="50" t="inlineStr">
        <is>
          <t>TOOLOST3001103382</t>
        </is>
      </c>
      <c r="I18" s="15" t="inlineStr">
        <is>
          <t>Pop</t>
        </is>
      </c>
      <c r="J18" s="15" t="inlineStr">
        <is>
          <t>R&amp;B</t>
        </is>
      </c>
      <c r="K18" s="15" t="inlineStr">
        <is>
          <t>Mikage Zenith STUDIO</t>
        </is>
      </c>
      <c r="L18" s="15" t="inlineStr">
        <is>
          <t>CHUA_XAC_NHAN</t>
        </is>
      </c>
      <c r="M18" s="15" t="inlineStr">
        <is>
          <t>CHUA_XAC_NHAN</t>
        </is>
      </c>
      <c r="N18" s="15" t="inlineStr">
        <is>
          <t>CHUA_XAC_NHAN</t>
        </is>
      </c>
      <c r="O18" s="15" t="inlineStr">
        <is>
          <t>USER_CONTEXT_NOT_FILE_VERIFIED</t>
        </is>
      </c>
      <c r="P18" s="51" t="inlineStr">
        <is>
          <t>2026-05-15</t>
        </is>
      </c>
      <c r="Q18" s="15" t="inlineStr">
        <is>
          <t>Chinese track</t>
        </is>
      </c>
    </row>
    <row r="19">
      <c r="A19" s="50" t="inlineStr">
        <is>
          <t>18</t>
        </is>
      </c>
      <c r="B19" s="15" t="inlineStr">
        <is>
          <t>검은 유리 (BLACK GLASS)</t>
        </is>
      </c>
      <c r="C19" s="15" t="inlineStr">
        <is>
          <t>Korean</t>
        </is>
      </c>
      <c r="D19" s="15" t="inlineStr">
        <is>
          <t>2026-06-27</t>
        </is>
      </c>
      <c r="E19" s="15" t="inlineStr">
        <is>
          <t>Delivered</t>
        </is>
      </c>
      <c r="F19" s="15" t="inlineStr">
        <is>
          <t>https://too.fm/vodnk8p</t>
        </is>
      </c>
      <c r="G19" s="50" t="inlineStr">
        <is>
          <t>0672896307480</t>
        </is>
      </c>
      <c r="H19" s="50" t="inlineStr">
        <is>
          <t>TOOLOST3001103786</t>
        </is>
      </c>
      <c r="I19" s="15" t="inlineStr">
        <is>
          <t>R&amp;B</t>
        </is>
      </c>
      <c r="J19" s="15" t="inlineStr">
        <is>
          <t>Pop</t>
        </is>
      </c>
      <c r="K19" s="15" t="inlineStr">
        <is>
          <t>Mikage Zenith STUDIO</t>
        </is>
      </c>
      <c r="L19" s="15" t="inlineStr">
        <is>
          <t>CHUA_XAC_NHAN</t>
        </is>
      </c>
      <c r="M19" s="15" t="inlineStr">
        <is>
          <t>CHUA_XAC_NHAN</t>
        </is>
      </c>
      <c r="N19" s="15" t="inlineStr">
        <is>
          <t>CHUA_XAC_NHAN</t>
        </is>
      </c>
      <c r="O19" s="15" t="inlineStr">
        <is>
          <t>USER_CONTEXT_NOT_FILE_VERIFIED</t>
        </is>
      </c>
      <c r="P19" s="51" t="inlineStr">
        <is>
          <t>2026-05-15</t>
        </is>
      </c>
      <c r="Q19" s="15" t="inlineStr">
        <is>
          <t>Korean track</t>
        </is>
      </c>
    </row>
    <row r="20">
      <c r="A20" s="50" t="inlineStr">
        <is>
          <t>19</t>
        </is>
      </c>
      <c r="B20" s="15" t="inlineStr">
        <is>
          <t>ネオン心拍 (NEON HEARTBEAT)</t>
        </is>
      </c>
      <c r="C20" s="15" t="inlineStr">
        <is>
          <t>Japanese</t>
        </is>
      </c>
      <c r="D20" s="15" t="inlineStr">
        <is>
          <t>2026-06-28</t>
        </is>
      </c>
      <c r="E20" s="15" t="inlineStr">
        <is>
          <t>Delivered</t>
        </is>
      </c>
      <c r="F20" s="15" t="inlineStr">
        <is>
          <t>https://too.fm/11anb52</t>
        </is>
      </c>
      <c r="G20" s="50" t="inlineStr">
        <is>
          <t>0672896314303</t>
        </is>
      </c>
      <c r="H20" s="50" t="inlineStr">
        <is>
          <t>TOOLOST3001105381</t>
        </is>
      </c>
      <c r="I20" s="15" t="inlineStr">
        <is>
          <t>R&amp;B</t>
        </is>
      </c>
      <c r="J20" s="15" t="inlineStr">
        <is>
          <t>Pop</t>
        </is>
      </c>
      <c r="K20" s="15" t="inlineStr">
        <is>
          <t>Mikage Zenith STUDIO</t>
        </is>
      </c>
      <c r="L20" s="15" t="inlineStr">
        <is>
          <t>CHUA_XAC_NHAN</t>
        </is>
      </c>
      <c r="M20" s="15" t="inlineStr">
        <is>
          <t>CHUA_XAC_NHAN</t>
        </is>
      </c>
      <c r="N20" s="15" t="inlineStr">
        <is>
          <t>CHUA_XAC_NHAN</t>
        </is>
      </c>
      <c r="O20" s="15" t="inlineStr">
        <is>
          <t>USER_CONTEXT_NOT_FILE_VERIFIED</t>
        </is>
      </c>
      <c r="P20" s="51" t="inlineStr">
        <is>
          <t>2026-05-15</t>
        </is>
      </c>
      <c r="Q20" s="15" t="inlineStr">
        <is>
          <t>Japanese track; corrected link</t>
        </is>
      </c>
    </row>
    <row r="21">
      <c r="A21" s="50" t="inlineStr">
        <is>
          <t>20</t>
        </is>
      </c>
      <c r="B21" s="15" t="inlineStr">
        <is>
          <t>触れたらアウト (TOUCH AND YOU LOSE)</t>
        </is>
      </c>
      <c r="C21" s="15" t="inlineStr">
        <is>
          <t>Japanese</t>
        </is>
      </c>
      <c r="D21" s="15" t="inlineStr">
        <is>
          <t>2026-06-28</t>
        </is>
      </c>
      <c r="E21" s="15" t="inlineStr">
        <is>
          <t>Delivered</t>
        </is>
      </c>
      <c r="F21" s="15" t="inlineStr">
        <is>
          <t>https://too.fm/1yze1z5</t>
        </is>
      </c>
      <c r="G21" s="50" t="inlineStr">
        <is>
          <t>0672896314150</t>
        </is>
      </c>
      <c r="H21" s="50" t="inlineStr">
        <is>
          <t>TOOLOST3001105272</t>
        </is>
      </c>
      <c r="I21" s="15" t="inlineStr">
        <is>
          <t>R&amp;B</t>
        </is>
      </c>
      <c r="J21" s="15" t="inlineStr">
        <is>
          <t>Pop</t>
        </is>
      </c>
      <c r="K21" s="15" t="inlineStr">
        <is>
          <t>Mikage Zenith STUDIO</t>
        </is>
      </c>
      <c r="L21" s="15" t="inlineStr">
        <is>
          <t>CHUA_XAC_NHAN</t>
        </is>
      </c>
      <c r="M21" s="15" t="inlineStr">
        <is>
          <t>CHUA_XAC_NHAN</t>
        </is>
      </c>
      <c r="N21" s="15" t="inlineStr">
        <is>
          <t>CHUA_XAC_NHAN</t>
        </is>
      </c>
      <c r="O21" s="15" t="inlineStr">
        <is>
          <t>USER_CONTEXT_NOT_FILE_VERIFIED</t>
        </is>
      </c>
      <c r="P21" s="51" t="inlineStr">
        <is>
          <t>2026-05-15</t>
        </is>
      </c>
      <c r="Q21" s="15" t="inlineStr">
        <is>
          <t>Japanese track; corrected link</t>
        </is>
      </c>
    </row>
    <row r="22">
      <c r="A22" s="50" t="inlineStr">
        <is>
          <t>21</t>
        </is>
      </c>
      <c r="B22" s="15" t="inlineStr">
        <is>
          <t>DÙ BẦU TRỜI TẮT NẮNG</t>
        </is>
      </c>
      <c r="C22" s="15" t="inlineStr">
        <is>
          <t>Vietnamese</t>
        </is>
      </c>
      <c r="D22" s="15" t="inlineStr">
        <is>
          <t>2026-07-03</t>
        </is>
      </c>
      <c r="E22" s="15" t="inlineStr">
        <is>
          <t>Delivered</t>
        </is>
      </c>
      <c r="F22" s="15" t="inlineStr">
        <is>
          <t>https://too.fm/bxnbbae</t>
        </is>
      </c>
      <c r="G22" s="50" t="inlineStr">
        <is>
          <t>0672896328577</t>
        </is>
      </c>
      <c r="H22" s="50" t="inlineStr">
        <is>
          <t>TOOLOST3001107194</t>
        </is>
      </c>
      <c r="I22" s="15" t="inlineStr">
        <is>
          <t>Pop</t>
        </is>
      </c>
      <c r="J22" s="15" t="inlineStr">
        <is>
          <t>Rock</t>
        </is>
      </c>
      <c r="K22" s="15" t="inlineStr">
        <is>
          <t>Mikage Zenith STUDIO</t>
        </is>
      </c>
      <c r="L22" s="15" t="inlineStr">
        <is>
          <t>CHUA_XAC_NHAN</t>
        </is>
      </c>
      <c r="M22" s="15" t="inlineStr">
        <is>
          <t>CHUA_XAC_NHAN</t>
        </is>
      </c>
      <c r="N22" s="15" t="inlineStr">
        <is>
          <t>CHUA_XAC_NHAN</t>
        </is>
      </c>
      <c r="O22" s="15" t="inlineStr">
        <is>
          <t>USER_SCREENSHOT_TOOLOST_INFORMATION_2026-05-15</t>
        </is>
      </c>
      <c r="P22" s="51" t="inlineStr">
        <is>
          <t>2026-05-15</t>
        </is>
      </c>
      <c r="Q22" s="15" t="inlineStr">
        <is>
          <t>Track 21 added; Vietnamese July opener. Store logs/direct store links/Amazon ASIN/proof pack not fully verified.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52" t="inlineStr">
        <is>
          <t>MIKAGE TOOLOST AUDIO CATALOG — LOCKED 21 TRACK BASELINE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30" t="inlineStr">
        <is>
          <t>Metric</t>
        </is>
      </c>
      <c r="B3" s="30" t="inlineStr">
        <is>
          <t>Value</t>
        </is>
      </c>
      <c r="D3" s="46" t="inlineStr">
        <is>
          <t>Scope Lock</t>
        </is>
      </c>
      <c r="E3" s="46" t="str"/>
      <c r="F3" s="46" t="str"/>
      <c r="G3" s="46" t="str"/>
      <c r="H3" s="46" t="str"/>
    </row>
    <row r="4">
      <c r="A4" s="35" t="inlineStr">
        <is>
          <t>Total releases</t>
        </is>
      </c>
      <c r="B4" s="39">
        <f>COUNTA(Catalog!A2:A1000)</f>
        <v/>
      </c>
      <c r="D4" s="35" t="inlineStr">
        <is>
          <t>Total catalog</t>
        </is>
      </c>
      <c r="E4" s="12" t="inlineStr">
        <is>
          <t>21 tracks</t>
        </is>
      </c>
      <c r="F4" s="12" t="str"/>
      <c r="G4" s="12" t="str"/>
      <c r="H4" s="12" t="str"/>
    </row>
    <row r="5">
      <c r="A5" s="35" t="inlineStr">
        <is>
          <t>Delivered</t>
        </is>
      </c>
      <c r="B5" s="39">
        <f>COUNTIF(Catalog!E2:E1000,"Delivered")</f>
        <v/>
      </c>
      <c r="D5" s="35" t="inlineStr">
        <is>
          <t>TooLost status</t>
        </is>
      </c>
      <c r="E5" s="12" t="inlineStr">
        <is>
          <t>21 Delivered / 0 Pending</t>
        </is>
      </c>
      <c r="F5" s="12" t="str"/>
      <c r="G5" s="12" t="str"/>
      <c r="H5" s="12" t="str"/>
    </row>
    <row r="6">
      <c r="A6" s="35" t="inlineStr">
        <is>
          <t>Pending</t>
        </is>
      </c>
      <c r="B6" s="39">
        <f>COUNTIF(Catalog!E2:E1000,"Pending")</f>
        <v/>
      </c>
      <c r="D6" s="35" t="inlineStr">
        <is>
          <t>Languages</t>
        </is>
      </c>
      <c r="E6" s="12" t="inlineStr">
        <is>
          <t>English, Japanese, Chinese, Korean, Vietnamese</t>
        </is>
      </c>
      <c r="F6" s="12" t="str"/>
      <c r="G6" s="12" t="str"/>
      <c r="H6" s="12" t="str"/>
    </row>
    <row r="7">
      <c r="A7" s="35" t="inlineStr">
        <is>
          <t>Language verified</t>
        </is>
      </c>
      <c r="B7" s="39">
        <f>COUNTA(Catalog!C2:C1000)&amp;" / "&amp;COUNTA(Catalog!A2:A1000)</f>
        <v/>
      </c>
      <c r="D7" s="35" t="inlineStr">
        <is>
          <t>Verified from</t>
        </is>
      </c>
      <c r="E7" s="12" t="inlineStr">
        <is>
          <t>TooLost Information screenshots + existing catalog</t>
        </is>
      </c>
      <c r="F7" s="12" t="str"/>
      <c r="G7" s="12" t="str"/>
      <c r="H7" s="12" t="str"/>
    </row>
    <row r="8">
      <c r="A8" s="35" t="inlineStr">
        <is>
          <t>Confirmed languages</t>
        </is>
      </c>
      <c r="B8" s="39">
        <f>COUNTA(A13:A17)</f>
        <v/>
      </c>
      <c r="D8" s="35" t="inlineStr">
        <is>
          <t>Not fully verified</t>
        </is>
      </c>
      <c r="E8" s="12" t="inlineStr">
        <is>
          <t>Store delivery logs / direct store links / Amazon ASIN / proof-pack attachment status</t>
        </is>
      </c>
      <c r="F8" s="12" t="str"/>
      <c r="G8" s="12" t="str"/>
      <c r="H8" s="12" t="str"/>
    </row>
    <row r="9">
      <c r="A9" s="35" t="inlineStr">
        <is>
          <t>Current baseline date</t>
        </is>
      </c>
      <c r="B9" s="39" t="inlineStr">
        <is>
          <t>2026-05-15</t>
        </is>
      </c>
      <c r="D9" s="35" t="str"/>
      <c r="E9" s="12" t="str"/>
      <c r="F9" s="12" t="str"/>
      <c r="G9" s="12" t="str"/>
      <c r="H9" s="12" t="str"/>
    </row>
    <row r="10">
      <c r="D10" s="35" t="inlineStr">
        <is>
          <t>Latest track</t>
        </is>
      </c>
      <c r="E10" s="12" t="inlineStr">
        <is>
          <t>21 — DÙ BẦU TRỜI TẮT NẮNG</t>
        </is>
      </c>
      <c r="F10" s="12" t="str"/>
      <c r="G10" s="12" t="str"/>
      <c r="H10" s="12" t="str"/>
    </row>
    <row r="11">
      <c r="D11" s="35" t="inlineStr">
        <is>
          <t>Latest link</t>
        </is>
      </c>
      <c r="E11" s="12" t="inlineStr">
        <is>
          <t>https://too.fm/bxnbbae</t>
        </is>
      </c>
      <c r="F11" s="12" t="str"/>
      <c r="G11" s="12" t="str"/>
      <c r="H11" s="12" t="str"/>
    </row>
    <row r="12">
      <c r="A12" s="30" t="inlineStr">
        <is>
          <t>Language</t>
        </is>
      </c>
      <c r="B12" s="30" t="inlineStr">
        <is>
          <t>Track count</t>
        </is>
      </c>
      <c r="D12" s="35" t="inlineStr">
        <is>
          <t>Latest release date</t>
        </is>
      </c>
      <c r="E12" s="12" t="inlineStr">
        <is>
          <t>2026-07-03</t>
        </is>
      </c>
      <c r="F12" s="12" t="str"/>
      <c r="G12" s="12" t="str"/>
      <c r="H12" s="12" t="str"/>
    </row>
    <row r="13">
      <c r="A13" s="42" t="inlineStr">
        <is>
          <t>English</t>
        </is>
      </c>
      <c r="B13" s="44">
        <f>COUNTIF(Catalog!C2:C1000,A13)</f>
        <v/>
      </c>
    </row>
    <row r="14">
      <c r="A14" s="42" t="inlineStr">
        <is>
          <t>Japanese</t>
        </is>
      </c>
      <c r="B14" s="44">
        <f>COUNTIF(Catalog!C2:C1000,A14)</f>
        <v/>
      </c>
    </row>
    <row r="15">
      <c r="A15" s="42" t="inlineStr">
        <is>
          <t>Chinese</t>
        </is>
      </c>
      <c r="B15" s="44">
        <f>COUNTIF(Catalog!C2:C1000,A15)</f>
        <v/>
      </c>
    </row>
    <row r="16">
      <c r="A16" s="42" t="inlineStr">
        <is>
          <t>Korean</t>
        </is>
      </c>
      <c r="B16" s="44">
        <f>COUNTIF(Catalog!C2:C1000,A16)</f>
        <v/>
      </c>
    </row>
    <row r="17">
      <c r="A17" s="42" t="inlineStr">
        <is>
          <t>Vietnamese</t>
        </is>
      </c>
      <c r="B17" s="44">
        <f>COUNTIF(Catalog!C2:C1000,A17)</f>
        <v/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2026-05-15T11:15:22Z</dcterms:created>
  <dcterms:modified xmlns:dcterms="http://purl.org/dc/terms/" xmlns:xsi="http://www.w3.org/2001/XMLSchema-instance" xsi:type="dcterms:W3CDTF">2026-05-15T11:15:22Z</dcterms:modified>
</cp:coreProperties>
</file>